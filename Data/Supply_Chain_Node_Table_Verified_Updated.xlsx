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c0a910af9240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des" sheetId="1" r:id="Re20bbfccfd6942e9"/>
    <x:sheet xmlns:r="http://schemas.openxmlformats.org/officeDocument/2006/relationships" name="Reference Lists" sheetId="2" r:id="Rdf294f99c6e0456f"/>
    <x:sheet xmlns:r="http://schemas.openxmlformats.org/officeDocument/2006/relationships" name="Logistics" sheetId="3" r:id="Re23b62e4d5ca41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rgb="FF000000"/>
      <x:name val="Carlito"/>
    </x:font>
    <x:font>
      <x:b/>
      <x:sz val="11"/>
      <x:color rgb="FFFFFFFF"/>
      <x:name val="Carlito"/>
    </x:font>
    <x:font>
      <x:sz val="11"/>
      <x:color theme="1"/>
      <x:name val="Carlito"/>
    </x:font>
    <x:font>
      <x:color theme="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</x:fonts>
  <x:fills count="12">
    <x:fill>
      <x:patternFill patternType="none"/>
    </x:fill>
    <x:fill>
      <x:patternFill patternType="lightGray"/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7FBFF"/>
      </x:patternFill>
    </x:fill>
    <x:fill>
      <x:patternFill patternType="solid">
        <x:fgColor rgb="FFFFFFFF"/>
      </x:patternFill>
    </x:fill>
    <x:fill>
      <x:patternFill patternType="solid">
        <x:fgColor rgb="FFC1E4F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7FBFF"/>
      </x:patternFill>
    </x:fill>
  </x:fills>
  <x:borders count="28">
    <x:border/>
    <x:border/>
    <x:border/>
    <x:border/>
    <x:border/>
    <x:border/>
    <x:border/>
    <x:border/>
    <x:border/>
    <x:border/>
    <x:border/>
    <x:border/>
    <x:border/>
    <x:border>
      <x:left/>
      <x:top/>
      <x:bottom/>
    </x:border>
    <x:border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bottom/>
    </x:border>
    <x:border>
      <x:right/>
      <x:bottom/>
    </x:border>
    <x:border>
      <x:left/>
      <x:top/>
      <x:bottom/>
    </x:border>
  </x:borders>
  <x:cellStyleXfs count="1">
    <x:xf numFmtId="0" fontId="0" fillId="0" borderId="0" applyFont="1" applyAlignment="1"/>
  </x:cellStyleXfs>
  <x:cellXfs count="180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/>
    </x:xf>
    <x:xf numFmtId="0" fontId="2" fillId="0" borderId="0" xfId="0" applyFont="1"/>
    <x:xf numFmtId="0" fontId="3" fillId="0" borderId="0" xfId="0" applyFont="1" applyAlignment="1"/>
    <x:xf numFmtId="0" fontId="4" fillId="3" borderId="0" xfId="0" applyFont="1" applyFill="1" applyAlignment="1">
      <x:alignment horizontal="center" vertical="center"/>
    </x:xf>
    <x:xf numFmtId="0" fontId="5" fillId="4" borderId="0" xfId="0" applyFont="1" applyFill="1" applyAlignment="1">
      <x:alignment horizontal="left" vertical="center" wrapText="1"/>
    </x:xf>
    <x:xf numFmtId="0" fontId="1" fillId="2" borderId="2" xfId="0" applyFont="1" applyBorder="1" applyAlignment="1">
      <x:alignment horizontal="center" vertical="center" wrapText="1"/>
    </x:xf>
    <x:xf numFmtId="0" fontId="1" fillId="2" borderId="3" xfId="0" applyFont="1" applyBorder="1" applyAlignment="1">
      <x:alignment horizontal="center" vertical="center" wrapText="1"/>
    </x:xf>
    <x:xf numFmtId="0" fontId="1" fillId="2" borderId="3" xfId="0" applyFont="1" applyBorder="1" applyAlignment="1">
      <x:alignment horizontal="center" vertical="center" wrapText="1"/>
    </x:xf>
    <x:xf numFmtId="0" fontId="1" fillId="2" borderId="4" xfId="0" applyFont="1" applyBorder="1" applyAlignment="1">
      <x:alignment horizontal="center" vertical="center" wrapText="1"/>
    </x:xf>
    <x:xf numFmtId="0" fontId="2" fillId="5" borderId="5" xfId="0" applyFont="1" applyFill="1" applyBorder="1" applyAlignment="1">
      <x:alignment horizontal="center" vertical="center" wrapText="1"/>
    </x:xf>
    <x:xf numFmtId="0" fontId="2" fillId="5" borderId="6" xfId="0" applyFont="1" applyBorder="1" applyAlignment="1">
      <x:alignment vertical="center" wrapText="1"/>
    </x:xf>
    <x:xf numFmtId="0" fontId="2" fillId="5" borderId="6" xfId="0" applyFont="1" applyBorder="1" applyAlignment="1">
      <x:alignment horizontal="center" vertical="center" wrapText="1"/>
    </x:xf>
    <x:xf numFmtId="0" fontId="2" fillId="5" borderId="7" xfId="0" applyFont="1" applyBorder="1" applyAlignment="1">
      <x:alignment vertical="center" wrapText="1"/>
    </x:xf>
    <x:xf numFmtId="0" fontId="2" fillId="5" borderId="8" xfId="0" applyFont="1" applyBorder="1" applyAlignment="1">
      <x:alignment horizontal="center" vertical="center" wrapText="1"/>
    </x:xf>
    <x:xf numFmtId="0" fontId="2" fillId="5" borderId="0" xfId="0" applyFont="1" applyAlignment="1">
      <x:alignment vertical="center" wrapText="1"/>
    </x:xf>
    <x:xf numFmtId="0" fontId="2" fillId="5" borderId="0" xfId="0" applyFont="1" applyAlignment="1">
      <x:alignment horizontal="center" vertical="center" wrapText="1"/>
    </x:xf>
    <x:xf numFmtId="0" fontId="2" fillId="5" borderId="9" xfId="0" applyFont="1" applyBorder="1" applyAlignment="1">
      <x:alignment vertical="center" wrapText="1"/>
    </x:xf>
    <x:xf numFmtId="0" fontId="2" fillId="5" borderId="0" xfId="0" applyFont="1" applyAlignment="1">
      <x:alignment vertical="center" wrapText="1"/>
    </x:xf>
    <x:xf numFmtId="0" fontId="2" fillId="5" borderId="8" xfId="0" applyFont="1" applyBorder="1" applyAlignment="1">
      <x:alignment horizontal="center" vertical="center" wrapText="1"/>
    </x:xf>
    <x:xf numFmtId="0" fontId="2" fillId="5" borderId="0" xfId="0" applyFont="1" applyAlignment="1">
      <x:alignment horizontal="center" vertical="center" wrapText="1"/>
    </x:xf>
    <x:xf numFmtId="0" fontId="2" fillId="6" borderId="8" xfId="0" applyFont="1" applyFill="1" applyBorder="1" applyAlignment="1">
      <x:alignment horizontal="center" wrapText="1"/>
    </x:xf>
    <x:xf numFmtId="0" fontId="2" fillId="6" borderId="0" xfId="0" applyFont="1" applyAlignment="1">
      <x:alignment wrapText="1"/>
    </x:xf>
    <x:xf numFmtId="0" fontId="3" fillId="0" borderId="0" xfId="0" applyFont="1" applyAlignment="1">
      <x:alignment horizontal="center"/>
    </x:xf>
    <x:xf numFmtId="0" fontId="2" fillId="7" borderId="0" xfId="0" applyFont="1" applyFill="1" applyAlignment="1">
      <x:alignment wrapText="1"/>
    </x:xf>
    <x:xf numFmtId="0" fontId="2" fillId="6" borderId="0" xfId="0" applyFont="1" applyAlignment="1">
      <x:alignment horizontal="center" vertical="center" wrapText="1"/>
    </x:xf>
    <x:xf numFmtId="0" fontId="2" fillId="7" borderId="0" xfId="0" applyFont="1" applyAlignment="1">
      <x:alignment wrapText="1"/>
    </x:xf>
    <x:xf numFmtId="0" fontId="2" fillId="6" borderId="0" xfId="0" applyFont="1" applyAlignment="1">
      <x:alignment vertical="center" wrapText="1"/>
    </x:xf>
    <x:xf numFmtId="0" fontId="2" fillId="6" borderId="9" xfId="0" applyFont="1" applyBorder="1" applyAlignment="1">
      <x:alignment vertical="center" wrapText="1"/>
    </x:xf>
    <x:xf numFmtId="0" fontId="2" fillId="7" borderId="8" xfId="0" applyFont="1" applyBorder="1" applyAlignment="1">
      <x:alignment horizontal="center" wrapText="1"/>
    </x:xf>
    <x:xf numFmtId="0" fontId="2" fillId="6" borderId="0" xfId="0" applyFont="1" applyAlignment="1">
      <x:alignment wrapText="1"/>
    </x:xf>
    <x:xf numFmtId="0" fontId="2" fillId="6" borderId="8" xfId="0" applyFont="1" applyBorder="1" applyAlignment="1">
      <x:alignment horizontal="center" vertical="center" wrapText="1"/>
    </x:xf>
    <x:xf numFmtId="0" fontId="2" fillId="6" borderId="0" xfId="0" applyFont="1" applyAlignment="1">
      <x:alignment horizontal="center" vertical="center" wrapText="1"/>
    </x:xf>
    <x:xf numFmtId="0" fontId="2" fillId="6" borderId="8" xfId="0" applyFont="1" applyBorder="1" applyAlignment="1">
      <x:alignment horizontal="center" vertical="center" wrapText="1"/>
    </x:xf>
    <x:xf numFmtId="0" fontId="2" fillId="6" borderId="10" xfId="0" applyFont="1" applyBorder="1" applyAlignment="1">
      <x:alignment horizontal="center" vertical="center" wrapText="1"/>
    </x:xf>
    <x:xf numFmtId="0" fontId="2" fillId="6" borderId="11" xfId="0" applyFont="1" applyBorder="1" applyAlignment="1">
      <x:alignment vertical="center" wrapText="1"/>
    </x:xf>
    <x:xf numFmtId="0" fontId="2" fillId="6" borderId="11" xfId="0" applyFont="1" applyBorder="1" applyAlignment="1">
      <x:alignment horizontal="center" vertical="center" wrapText="1"/>
    </x:xf>
    <x:xf numFmtId="0" fontId="2" fillId="6" borderId="12" xfId="0" applyFont="1" applyBorder="1" applyAlignment="1">
      <x:alignment vertical="center" wrapText="1"/>
    </x:xf>
    <x:xf numFmtId="0" fontId="2" fillId="7" borderId="8" xfId="0" applyFont="1" applyBorder="1" applyAlignment="1">
      <x:alignment horizontal="center" vertical="center" wrapText="1"/>
    </x:xf>
    <x:xf numFmtId="0" fontId="2" fillId="7" borderId="0" xfId="0" applyFont="1" applyAlignment="1">
      <x:alignment vertical="center" wrapText="1"/>
    </x:xf>
    <x:xf numFmtId="0" fontId="2" fillId="7" borderId="0" xfId="0" applyFont="1" applyAlignment="1">
      <x:alignment horizontal="center" vertical="center" wrapText="1"/>
    </x:xf>
    <x:xf numFmtId="0" fontId="2" fillId="7" borderId="9" xfId="0" applyFont="1" applyBorder="1" applyAlignment="1">
      <x:alignment vertical="center" wrapText="1"/>
    </x:xf>
    <x:xf numFmtId="0" fontId="3" fillId="0" borderId="0" xfId="0" applyFont="1"/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vertical="bottom" wrapText="0"/>
    </x:xf>
    <x:xf numFmtId="0" fontId="4" fillId="8" borderId="0" xfId="0" applyNumberFormat="1" applyFont="1" applyFill="1" applyBorder="1" applyAlignment="1">
      <x:alignment vertical="bottom" wrapText="0"/>
    </x:xf>
    <x:xf numFmtId="0" fontId="4" fillId="8" borderId="0" xfId="0" applyNumberFormat="1" applyFont="1" applyFill="1" applyBorder="1" applyAlignment="1">
      <x:alignment horizontal="center" vertical="bottom" wrapText="0"/>
    </x:xf>
    <x:xf numFmtId="0" fontId="4" fillId="8" borderId="0" xfId="0" applyNumberFormat="1" applyFont="1" applyFill="1" applyBorder="1" applyAlignment="1">
      <x:alignment horizontal="center" vertical="center" wrapText="0"/>
    </x:xf>
    <x:xf numFmtId="0" fontId="5" fillId="9" borderId="0" xfId="0" applyNumberFormat="1" applyFont="1" applyFill="1" applyBorder="1" applyAlignment="1">
      <x:alignment horizontal="left" vertical="center" wrapText="1"/>
    </x:xf>
    <x:xf numFmtId="0" fontId="0" fillId="9" borderId="0" xfId="0" applyNumberFormat="1" applyFont="1" applyFill="1" applyBorder="1" applyAlignment="1">
      <x:alignment vertical="bottom" wrapText="0"/>
    </x:xf>
    <x:xf numFmtId="0" fontId="5" fillId="9" borderId="0" xfId="0" applyNumberFormat="1" applyFont="1" applyFill="1" applyBorder="1" applyAlignment="1">
      <x:alignment vertical="bottom" wrapText="0"/>
    </x:xf>
    <x:xf numFmtId="0" fontId="5" fillId="9" borderId="0" xfId="0" applyNumberFormat="1" applyFont="1" applyFill="1" applyBorder="1" applyAlignment="1">
      <x:alignment vertical="bottom" wrapText="1"/>
    </x:xf>
    <x:xf numFmtId="0" fontId="5" fillId="9" borderId="0" xfId="0" applyNumberFormat="1" applyFont="1" applyFill="1" applyBorder="1" applyAlignment="1">
      <x:alignment vertical="center" wrapText="1"/>
    </x:xf>
    <x:xf numFmtId="0" fontId="1" fillId="10" borderId="2" xfId="0" applyNumberFormat="1" applyFont="1" applyFill="1" applyBorder="1" applyAlignment="1">
      <x:alignment horizontal="center" vertical="center" wrapText="1"/>
    </x:xf>
    <x:xf numFmtId="0" fontId="1" fillId="10" borderId="3" xfId="0" applyNumberFormat="1" applyFont="1" applyFill="1" applyBorder="1" applyAlignment="1">
      <x:alignment horizontal="center" vertical="center" wrapText="1"/>
    </x:xf>
    <x:xf numFmtId="0" fontId="1" fillId="10" borderId="4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vertical="bottom" wrapText="0"/>
    </x:xf>
    <x:xf numFmtId="0" fontId="1" fillId="10" borderId="0" xfId="0" applyNumberFormat="1" applyFont="1" applyFill="1" applyBorder="1" applyAlignment="1">
      <x:alignment vertical="bottom" wrapText="0"/>
    </x:xf>
    <x:xf numFmtId="0" fontId="1" fillId="10" borderId="13" xfId="0" applyNumberFormat="1" applyFont="1" applyFill="1" applyBorder="1" applyAlignment="1">
      <x:alignment horizontal="center" vertical="center" wrapText="1"/>
    </x:xf>
    <x:xf numFmtId="0" fontId="1" fillId="10" borderId="14" xfId="0" applyNumberFormat="1" applyFont="1" applyFill="1" applyBorder="1" applyAlignment="1">
      <x:alignment horizontal="center" vertical="center" wrapText="1"/>
    </x:xf>
    <x:xf numFmtId="0" fontId="1" fillId="10" borderId="15" xfId="0" applyNumberFormat="1" applyFont="1" applyFill="1" applyBorder="1" applyAlignment="1">
      <x:alignment horizontal="center" vertical="center" wrapText="1"/>
    </x:xf>
    <x:xf numFmtId="0" fontId="1" fillId="10" borderId="14" xfId="0" applyNumberFormat="1" applyFont="1" applyFill="1" applyBorder="1" applyAlignment="1">
      <x:alignment vertical="bottom" wrapText="0"/>
    </x:xf>
    <x:xf numFmtId="0" fontId="1" fillId="10" borderId="16" xfId="0" applyNumberFormat="1" applyFont="1" applyFill="1" applyBorder="1" applyAlignment="1">
      <x:alignment vertical="bottom" wrapText="0"/>
    </x:xf>
    <x:xf numFmtId="0" fontId="1" fillId="10" borderId="14" xfId="0" applyNumberFormat="1" applyFont="1" applyFill="1" applyBorder="1" applyAlignment="1">
      <x:alignment vertical="bottom" wrapText="1"/>
    </x:xf>
    <x:xf numFmtId="0" fontId="1" fillId="10" borderId="16" xfId="0" applyNumberFormat="1" applyFont="1" applyFill="1" applyBorder="1" applyAlignment="1">
      <x:alignment vertical="bottom" wrapText="1"/>
    </x:xf>
    <x:xf numFmtId="0" fontId="1" fillId="10" borderId="14" xfId="0" applyNumberFormat="1" applyFont="1" applyFill="1" applyBorder="1" applyAlignment="1">
      <x:alignment horizontal="center" vertical="bottom" wrapText="1"/>
    </x:xf>
    <x:xf numFmtId="0" fontId="1" fillId="10" borderId="16" xfId="0" applyNumberFormat="1" applyFont="1" applyFill="1" applyBorder="1" applyAlignment="1">
      <x:alignment horizontal="center" vertical="bottom" wrapText="1"/>
    </x:xf>
    <x:xf numFmtId="0" fontId="1" fillId="10" borderId="16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2" fillId="5" borderId="17" xfId="0" applyNumberFormat="1" applyFont="1" applyFill="1" applyBorder="1" applyAlignment="1">
      <x:alignment horizontal="center" vertical="center" wrapText="1"/>
    </x:xf>
    <x:xf numFmtId="0" fontId="2" fillId="5" borderId="18" xfId="0" applyNumberFormat="1" applyFont="1" applyFill="1" applyBorder="1" applyAlignment="1">
      <x:alignment vertical="center" wrapText="1"/>
    </x:xf>
    <x:xf numFmtId="0" fontId="2" fillId="5" borderId="18" xfId="0" applyNumberFormat="1" applyFont="1" applyFill="1" applyBorder="1" applyAlignment="1">
      <x:alignment horizontal="center" vertical="center" wrapText="1"/>
    </x:xf>
    <x:xf numFmtId="0" fontId="2" fillId="5" borderId="19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bottom" wrapText="0"/>
    </x:xf>
    <x:xf numFmtId="0" fontId="0" fillId="0" borderId="20" xfId="0" applyNumberFormat="1" applyFont="1" applyFill="1" applyBorder="1" applyAlignment="1">
      <x:alignment vertical="bottom" wrapText="0"/>
    </x:xf>
    <x:xf numFmtId="0" fontId="2" fillId="5" borderId="21" xfId="0" applyNumberFormat="1" applyFont="1" applyFill="1" applyBorder="1" applyAlignment="1">
      <x:alignment horizontal="center" vertical="center" wrapText="1"/>
    </x:xf>
    <x:xf numFmtId="0" fontId="2" fillId="5" xfId="0" applyNumberFormat="1" applyFont="1" applyFill="1" applyBorder="0" applyAlignment="1">
      <x:alignment vertical="center" wrapText="1"/>
    </x:xf>
    <x:xf numFmtId="0" fontId="2" fillId="5" xfId="0" applyNumberFormat="1" applyFont="1" applyFill="1" applyBorder="0" applyAlignment="1">
      <x:alignment horizontal="center" vertical="center" wrapText="1"/>
    </x:xf>
    <x:xf numFmtId="0" fontId="2" fillId="5" borderId="9" xfId="0" applyNumberFormat="1" applyFont="1" applyFill="1" applyBorder="1" applyAlignment="1">
      <x:alignment vertical="center" wrapText="1"/>
    </x:xf>
    <x:xf numFmtId="0" fontId="0" fillId="0" xfId="0" applyNumberFormat="1" applyFont="1" applyFill="1" applyBorder="0" applyAlignment="1">
      <x:alignment vertical="bottom" wrapText="0"/>
    </x:xf>
    <x:xf numFmtId="0" fontId="0" fillId="0" borderId="22" xfId="0" applyNumberFormat="1" applyFont="1" applyFill="1" applyBorder="1" applyAlignment="1">
      <x:alignment vertical="bottom" wrapText="0"/>
    </x:xf>
    <x:xf numFmtId="0" fontId="2" fillId="6" borderId="21" xfId="0" applyNumberFormat="1" applyFont="1" applyFill="1" applyBorder="1" applyAlignment="1">
      <x:alignment horizontal="center" wrapText="1"/>
    </x:xf>
    <x:xf numFmtId="0" fontId="2" fillId="6" xfId="0" applyNumberFormat="1" applyFont="1" applyFill="1" applyBorder="0" applyAlignment="1">
      <x:alignment wrapText="1"/>
    </x:xf>
    <x:xf numFmtId="0" fontId="3" fillId="0" xfId="0" applyNumberFormat="1" applyFont="1" applyFill="1" applyBorder="0"/>
    <x:xf numFmtId="0" fontId="3" fillId="0" borderId="21" xfId="0" applyNumberFormat="1" applyFont="1" applyFill="1" applyBorder="1" applyAlignment="1">
      <x:alignment horizontal="center"/>
    </x:xf>
    <x:xf numFmtId="0" fontId="2" fillId="7" xfId="0" applyNumberFormat="1" applyFont="1" applyFill="1" applyBorder="0" applyAlignment="1">
      <x:alignment wrapText="1"/>
    </x:xf>
    <x:xf numFmtId="0" fontId="2" fillId="6" xfId="0" applyNumberFormat="1" applyFont="1" applyFill="1" applyBorder="0" applyAlignment="1">
      <x:alignment horizontal="center" vertical="center" wrapText="1"/>
    </x:xf>
    <x:xf numFmtId="0" fontId="2" fillId="6" xfId="0" applyNumberFormat="1" applyFont="1" applyFill="1" applyBorder="0" applyAlignment="1">
      <x:alignment vertical="center" wrapText="1"/>
    </x:xf>
    <x:xf numFmtId="0" fontId="2" fillId="6" borderId="9" xfId="0" applyNumberFormat="1" applyFont="1" applyFill="1" applyBorder="1" applyAlignment="1">
      <x:alignment vertical="center" wrapText="1"/>
    </x:xf>
    <x:xf numFmtId="0" fontId="2" fillId="7" borderId="21" xfId="0" applyNumberFormat="1" applyFont="1" applyFill="1" applyBorder="1" applyAlignment="1">
      <x:alignment horizontal="center" wrapText="1"/>
    </x:xf>
    <x:xf numFmtId="0" fontId="2" fillId="6" borderId="21" xfId="0" applyNumberFormat="1" applyFont="1" applyFill="1" applyBorder="1" applyAlignment="1">
      <x:alignment horizontal="center" vertical="center" wrapText="1"/>
    </x:xf>
    <x:xf numFmtId="0" fontId="0" fillId="0" borderId="23" xfId="0" applyNumberFormat="1" applyFont="1" applyFill="1" applyBorder="1" applyAlignment="1">
      <x:alignment vertical="bottom" wrapText="0"/>
    </x:xf>
    <x:xf numFmtId="0" fontId="2" fillId="6" borderId="24" xfId="0" applyNumberFormat="1" applyFont="1" applyFill="1" applyBorder="1" applyAlignment="1">
      <x:alignment vertical="center" wrapText="1"/>
    </x:xf>
    <x:xf numFmtId="0" fontId="2" fillId="6" borderId="24" xfId="0" applyNumberFormat="1" applyFont="1" applyFill="1" applyBorder="1" applyAlignment="1">
      <x:alignment horizontal="center" vertical="center" wrapText="1"/>
    </x:xf>
    <x:xf numFmtId="0" fontId="2" fillId="6" borderId="25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bottom" wrapText="0"/>
    </x:xf>
    <x:xf numFmtId="0" fontId="0" fillId="0" borderId="26" xfId="0" applyNumberFormat="1" applyFont="1" applyFill="1" applyBorder="1" applyAlignment="1">
      <x:alignment vertical="bottom" wrapText="0"/>
    </x:xf>
    <x:xf numFmtId="0" fontId="0" fillId="0" borderId="18" xfId="0" applyNumberFormat="1" applyFont="1" applyFill="1" applyBorder="1" applyAlignment="1">
      <x:alignment vertical="bottom" wrapText="1"/>
    </x:xf>
    <x:xf numFmtId="0" fontId="0" fillId="0" borderId="20" xfId="0" applyNumberFormat="1" applyFont="1" applyFill="1" applyBorder="1" applyAlignment="1">
      <x:alignment vertical="bottom" wrapText="1"/>
    </x:xf>
    <x:xf numFmtId="0" fontId="0" fillId="0" xfId="0" applyNumberFormat="1" applyFont="1" applyFill="1" applyBorder="0" applyAlignment="1">
      <x:alignment vertical="bottom" wrapText="1"/>
    </x:xf>
    <x:xf numFmtId="0" fontId="0" fillId="0" borderId="22" xfId="0" applyNumberFormat="1" applyFont="1" applyFill="1" applyBorder="1" applyAlignment="1">
      <x:alignment vertical="bottom" wrapText="1"/>
    </x:xf>
    <x:xf numFmtId="0" fontId="3" fillId="0" xfId="0" applyNumberFormat="1" applyFont="1" applyFill="1" applyBorder="0" applyAlignment="1">
      <x:alignment wrapText="1"/>
    </x:xf>
    <x:xf numFmtId="0" fontId="3" fillId="0" borderId="21" xfId="0" applyNumberFormat="1" applyFont="1" applyFill="1" applyBorder="1" applyAlignment="1">
      <x:alignment horizontal="center" wrapText="1"/>
    </x:xf>
    <x:xf numFmtId="0" fontId="0" fillId="0" borderId="23" xfId="0" applyNumberFormat="1" applyFont="1" applyFill="1" applyBorder="1" applyAlignment="1">
      <x:alignment vertical="bottom" wrapText="1"/>
    </x:xf>
    <x:xf numFmtId="0" fontId="0" fillId="0" borderId="24" xfId="0" applyNumberFormat="1" applyFont="1" applyFill="1" applyBorder="1" applyAlignment="1">
      <x:alignment vertical="bottom" wrapText="1"/>
    </x:xf>
    <x:xf numFmtId="0" fontId="0" fillId="0" borderId="26" xfId="0" applyNumberFormat="1" applyFont="1" applyFill="1" applyBorder="1" applyAlignment="1">
      <x:alignment vertical="bottom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3" fillId="0" xfId="0" applyNumberFormat="1" applyFont="1" applyFill="1" applyBorder="0" applyAlignment="1">
      <x:alignment vertical="center" wrapText="1"/>
    </x:xf>
    <x:xf numFmtId="0" fontId="3" fillId="0" borderId="21" xfId="0" applyNumberFormat="1" applyFont="1" applyFill="1" applyBorder="1" applyAlignment="1">
      <x:alignment horizontal="center" vertical="center" wrapText="1"/>
    </x:xf>
    <x:xf numFmtId="0" fontId="2" fillId="7" xfId="0" applyNumberFormat="1" applyFont="1" applyFill="1" applyBorder="0" applyAlignment="1">
      <x:alignment vertical="center" wrapText="1"/>
    </x:xf>
    <x:xf numFmtId="0" fontId="2" fillId="7" borderId="21" xfId="0" applyNumberFormat="1" applyFont="1" applyFill="1" applyBorder="1" applyAlignment="1">
      <x:alignment horizontal="center"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26" xfId="0" applyNumberFormat="1" applyFont="1" applyFill="1" applyBorder="1" applyAlignment="1">
      <x:alignment vertical="center" wrapText="1"/>
    </x:xf>
    <x:xf numFmtId="0" fontId="2" fillId="11" borderId="17" xfId="0" applyNumberFormat="1" applyFont="1" applyFill="1" applyBorder="1" applyAlignment="1">
      <x:alignment horizontal="center" vertical="center" wrapText="1"/>
    </x:xf>
    <x:xf numFmtId="0" fontId="2" fillId="11" borderId="18" xfId="0" applyNumberFormat="1" applyFont="1" applyFill="1" applyBorder="1" applyAlignment="1">
      <x:alignment vertical="center" wrapText="1"/>
    </x:xf>
    <x:xf numFmtId="0" fontId="2" fillId="11" borderId="18" xfId="0" applyNumberFormat="1" applyFont="1" applyFill="1" applyBorder="1" applyAlignment="1">
      <x:alignment horizontal="center" vertical="center" wrapText="1"/>
    </x:xf>
    <x:xf numFmtId="0" fontId="2" fillId="11" borderId="19" xfId="0" applyNumberFormat="1" applyFont="1" applyFill="1" applyBorder="1" applyAlignment="1">
      <x:alignment vertical="center" wrapText="1"/>
    </x:xf>
    <x:xf numFmtId="0" fontId="0" fillId="11" borderId="18" xfId="0" applyNumberFormat="1" applyFont="1" applyFill="1" applyBorder="1" applyAlignment="1">
      <x:alignment vertical="center" wrapText="1"/>
    </x:xf>
    <x:xf numFmtId="0" fontId="0" fillId="11" borderId="20" xfId="0" applyNumberFormat="1" applyFont="1" applyFill="1" applyBorder="1" applyAlignment="1">
      <x:alignment vertical="center" wrapText="1"/>
    </x:xf>
    <x:xf numFmtId="0" fontId="2" fillId="11" borderId="21" xfId="0" applyNumberFormat="1" applyFont="1" applyFill="1" applyBorder="1" applyAlignment="1">
      <x:alignment horizontal="center" vertical="center" wrapText="1"/>
    </x:xf>
    <x:xf numFmtId="0" fontId="2" fillId="11" xfId="0" applyNumberFormat="1" applyFont="1" applyFill="1" applyBorder="0" applyAlignment="1">
      <x:alignment vertical="center" wrapText="1"/>
    </x:xf>
    <x:xf numFmtId="0" fontId="2" fillId="11" xfId="0" applyNumberFormat="1" applyFont="1" applyFill="1" applyBorder="0" applyAlignment="1">
      <x:alignment horizontal="center" vertical="center" wrapText="1"/>
    </x:xf>
    <x:xf numFmtId="0" fontId="2" fillId="11" borderId="9" xfId="0" applyNumberFormat="1" applyFont="1" applyFill="1" applyBorder="1" applyAlignment="1">
      <x:alignment vertical="center" wrapText="1"/>
    </x:xf>
    <x:xf numFmtId="0" fontId="0" fillId="11" xfId="0" applyNumberFormat="1" applyFont="1" applyFill="1" applyBorder="0" applyAlignment="1">
      <x:alignment vertical="center" wrapText="1"/>
    </x:xf>
    <x:xf numFmtId="0" fontId="0" fillId="11" borderId="22" xfId="0" applyNumberFormat="1" applyFont="1" applyFill="1" applyBorder="1" applyAlignment="1">
      <x:alignment vertical="center" wrapText="1"/>
    </x:xf>
    <x:xf numFmtId="0" fontId="3" fillId="11" xfId="0" applyNumberFormat="1" applyFont="1" applyFill="1" applyBorder="0" applyAlignment="1">
      <x:alignment vertical="center" wrapText="1"/>
    </x:xf>
    <x:xf numFmtId="0" fontId="3" fillId="11" borderId="21" xfId="0" applyNumberFormat="1" applyFont="1" applyFill="1" applyBorder="1" applyAlignment="1">
      <x:alignment horizontal="center" vertical="center" wrapText="1"/>
    </x:xf>
    <x:xf numFmtId="0" fontId="2" fillId="11" borderId="0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horizontal="center" vertical="center" wrapText="1"/>
    </x:xf>
    <x:xf numFmtId="0" fontId="3" fillId="11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 applyAlignment="1">
      <x:alignment horizontal="center" vertical="center" wrapText="1"/>
    </x:xf>
    <x:xf numFmtId="0" fontId="0" fillId="11" borderId="18" xfId="0" applyNumberFormat="1" applyFont="1" applyFill="1" applyBorder="1" applyAlignment="1">
      <x:alignment horizontal="center" vertical="center" wrapText="1"/>
    </x:xf>
    <x:xf numFmtId="0" fontId="0" fillId="11" xfId="0" applyNumberFormat="1" applyFont="1" applyFill="1" applyBorder="0" applyAlignment="1">
      <x:alignment horizontal="center" vertical="center" wrapText="1"/>
    </x:xf>
    <x:xf numFmtId="0" fontId="0" fillId="0" borderId="24" xfId="0" applyNumberFormat="1" applyFont="1" applyFill="1" applyBorder="1" applyAlignment="1">
      <x:alignment horizontal="center" vertical="center" wrapText="1"/>
    </x:xf>
    <x:xf numFmtId="0" fontId="1" fillId="10" borderId="1" xfId="0" applyNumberFormat="1" applyFont="1" applyFill="1" applyBorder="1" applyAlignment="1">
      <x:alignment horizontal="center"/>
    </x:xf>
    <x:xf numFmtId="0" fontId="1" fillId="10" borderId="27" xfId="0" applyNumberFormat="1" applyFont="1" applyFill="1" applyBorder="1" applyAlignment="1">
      <x:alignment horizontal="center"/>
    </x:xf>
    <x:xf numFmtId="0" fontId="1" fillId="10" borderId="27" xfId="0" applyNumberFormat="1" applyFont="1" applyFill="1" applyBorder="1" applyAlignment="1">
      <x:alignment horizontal="center" wrapText="1"/>
    </x:xf>
    <x:xf numFmtId="0" fontId="1" fillId="10" borderId="27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horizontal="center"/>
    </x:xf>
    <x:xf numFmtId="0" fontId="1" fillId="10" borderId="13" xfId="0" applyNumberFormat="1" applyFont="1" applyFill="1" applyBorder="1" applyAlignment="1">
      <x:alignment horizontal="center"/>
    </x:xf>
    <x:xf numFmtId="0" fontId="1" fillId="10" borderId="13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bottom" wrapText="1"/>
    </x:xf>
    <x:xf numFmtId="0" fontId="3" fillId="0" borderId="0" xfId="0" applyNumberFormat="1" applyFont="1" applyFill="1" applyBorder="1" applyAlignment="1">
      <x:alignment wrapText="1"/>
    </x:xf>
    <x:xf numFmtId="0" fontId="1" fillId="10" borderId="13" xfId="0" applyNumberFormat="1" applyFont="1" applyFill="1" applyBorder="1" applyAlignment="1">
      <x:alignment vertical="bottom" wrapText="0"/>
    </x:xf>
    <x:xf numFmtId="0" fontId="1" fillId="10" borderId="13" xfId="0" applyNumberFormat="1" applyFont="1" applyFill="1" applyBorder="1" applyAlignment="1">
      <x:alignment vertical="bottom" wrapText="1"/>
    </x:xf>
    <x:xf numFmtId="0" fontId="1" fillId="10" borderId="13" xfId="0" applyNumberFormat="1" applyFont="1" applyFill="1" applyBorder="1" applyAlignment="1">
      <x:alignment horizontal="center" vertical="bottom" wrapText="1"/>
    </x:xf>
    <x:xf numFmtId="0" fontId="0" fillId="0" borderId="17" xfId="0" applyNumberFormat="1" applyFont="1" applyFill="1" applyBorder="1" applyAlignment="1">
      <x:alignment vertical="bottom" wrapText="0"/>
    </x:xf>
    <x:xf numFmtId="0" fontId="0" fillId="0" borderId="21" xfId="0" applyNumberFormat="1" applyFont="1" applyFill="1" applyBorder="1" applyAlignment="1">
      <x:alignment vertical="bottom" wrapText="0"/>
    </x:xf>
    <x:xf numFmtId="0" fontId="0" fillId="0" borderId="17" xfId="0" applyNumberFormat="1" applyFont="1" applyFill="1" applyBorder="1" applyAlignment="1">
      <x:alignment vertical="bottom" wrapText="1"/>
    </x:xf>
    <x:xf numFmtId="0" fontId="0" fillId="0" borderId="21" xfId="0" applyNumberFormat="1" applyFont="1" applyFill="1" applyBorder="1" applyAlignment="1">
      <x:alignment vertical="bottom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11" borderId="17" xfId="0" applyNumberFormat="1" applyFont="1" applyFill="1" applyBorder="1" applyAlignment="1">
      <x:alignment vertical="center" wrapText="1"/>
    </x:xf>
    <x:xf numFmtId="0" fontId="0" fillId="11" borderId="21" xfId="0" applyNumberFormat="1" applyFont="1" applyFill="1" applyBorder="1" applyAlignment="1">
      <x:alignment vertical="center" wrapText="1"/>
    </x:xf>
    <x:xf numFmtId="0" fontId="0" fillId="11" borderId="17" xfId="0" applyNumberFormat="1" applyFont="1" applyFill="1" applyBorder="1" applyAlignment="1">
      <x:alignment horizontal="center" vertical="center" wrapText="1"/>
    </x:xf>
    <x:xf numFmtId="0" fontId="0" fillId="11" borderId="21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0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  <x:dxf>
      <x:font>
        <x:color rgb="FF375623"/>
      </x:font>
      <x:fill>
        <x:patternFill>
          <x:bgColor rgb="FFE2F0D9"/>
        </x:patternFill>
      </x:fill>
      <x:border/>
    </x:dxf>
    <x:dxf>
      <x:font>
        <x:color rgb="FF7F6000"/>
      </x:font>
      <x:fill>
        <x:patternFill>
          <x:bgColor rgb="FFFFF2CC"/>
        </x:patternFill>
      </x:fill>
      <x:border/>
    </x:dxf>
    <x:dxf>
      <x:font>
        <x:color rgb="FF843C0C"/>
      </x:font>
      <x:fill>
        <x:patternFill>
          <x:bgColor rgb="FFFCE4D6"/>
        </x:patternFill>
      </x:fill>
      <x:border/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843C0C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697a3588464cda" /><Relationship Type="http://schemas.openxmlformats.org/officeDocument/2006/relationships/theme" Target="/xl/theme/theme1.xml" Id="R3cf0f152593f4133" /><Relationship Type="http://schemas.openxmlformats.org/officeDocument/2006/relationships/sharedStrings" Target="/xl/sharedStrings.xml" Id="Rdce45871029e481f" /><Relationship Type="http://schemas.openxmlformats.org/officeDocument/2006/relationships/worksheet" Target="/xl/worksheets/sheet1.xml" Id="Re20bbfccfd6942e9" /><Relationship Type="http://schemas.openxmlformats.org/officeDocument/2006/relationships/worksheet" Target="/xl/worksheets/sheet2.xml" Id="Rdf294f99c6e0456f" /><Relationship Type="http://schemas.openxmlformats.org/officeDocument/2006/relationships/worksheet" Target="/xl/worksheets/sheet3.xml" Id="Re23b62e4d5ca41d3" /></Relationships>
</file>

<file path=xl/tables/table1.xml><?xml version="1.0" encoding="utf-8"?>
<x:table xmlns:x="http://schemas.openxmlformats.org/spreadsheetml/2006/main" id="1" name="SupplyChainNodes" displayName="SupplyChainNodes" ref="A4:K20" headerRowCount="1" totalsRowCount="0" totalsRowShown="0">
  <x:tableColumns count="11">
    <x:tableColumn id="1" name="Node ID"/>
    <x:tableColumn id="2" name="Name"/>
    <x:tableColumn id="3" name="Type"/>
    <x:tableColumn id="4" name="Tier"/>
    <x:tableColumn id="5" name="Location"/>
    <x:tableColumn id="6" name="Material / Function"/>
    <x:tableColumn id="7" name="Unit Amount / Modeling Basis"/>
    <x:tableColumn id="8" name="Verification Status"/>
    <x:tableColumn id="9" name="PAC-3 Link"/>
    <x:tableColumn id="10" name="Notes"/>
    <x:tableColumn id="11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plyChainLogistics" displayName="SupplyChainLogistics" ref="A4:J17" headerRowCount="1" totalsRowCount="0" totalsRowShown="0">
  <x:tableColumns count="10">
    <x:tableColumn id="1" name="Edge ID"/>
    <x:tableColumn id="2" name="From"/>
    <x:tableColumn id="3" name="To"/>
    <x:tableColumn id="4" name="Material / Item"/>
    <x:tableColumn id="5" name="Mode / Handling Assumption"/>
    <x:tableColumn id="6" name="DOT / Hazmat"/>
    <x:tableColumn id="7" name="Quantity / Basis"/>
    <x:tableColumn id="8" name="Verification Status"/>
    <x:tableColumn id="9" name="Notes"/>
    <x:tableColumn id="10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e3d559ece344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f0a35c9d7a42fc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10" hidden="0" customWidth="1"/>
    <x:col min="2" max="2" width="28" hidden="0" customWidth="1"/>
    <x:col min="3" max="3" width="16" hidden="0" customWidth="1"/>
    <x:col min="4" max="4" width="18" hidden="0" customWidth="1"/>
    <x:col min="5" max="5" width="18" hidden="0" customWidth="1"/>
    <x:col min="6" max="6" width="34" hidden="0" customWidth="1"/>
    <x:col min="7" max="7" width="33" hidden="0" customWidth="1"/>
    <x:col min="8" max="26" width="8.630000114440918" customWidth="1"/>
    <x:col min="8" max="8" width="26" hidden="0" customWidth="1"/>
    <x:col min="9" max="9" width="25" hidden="0" customWidth="1"/>
    <x:col min="10" max="10" width="45" hidden="0" customWidth="1"/>
    <x:col min="11" max="11" width="48" hidden="0" customWidth="1"/>
  </x:cols>
  <x:sheetData>
    <x:row r="1" ht="28" customHeight="1">
      <x:c r="A1" s="61" t="str">
        <x:v>PAC-3 MSE Supply Chain Node Table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</x:row>
    <x:row r="2" ht="36" customHeight="1">
      <x:c r="A2" s="66" t="str">
        <x:v>Public-source verification added Aug. 2026. Program-confirmed relationships are separated from facility/capability matches and modeling assumptions.</x:v>
      </x:c>
      <x:c r="B2" s="70"/>
      <x:c r="C2" s="70"/>
      <x:c r="D2" s="70"/>
      <x:c r="E2" s="70"/>
      <x:c r="F2" s="70"/>
      <x:c r="G2" s="70"/>
      <x:c r="H2" s="70"/>
      <x:c r="I2" s="70"/>
      <x:c r="J2" s="70"/>
      <x:c r="K2" s="70"/>
    </x:row>
    <x:row r="4" ht="34" customHeight="1">
      <x:c r="A4" s="76" t="str">
        <x:v>Node ID</x:v>
      </x:c>
      <x:c r="B4" s="77" t="str">
        <x:v>Name</x:v>
      </x:c>
      <x:c r="C4" s="77" t="str">
        <x:v>Type</x:v>
      </x:c>
      <x:c r="D4" s="77" t="str">
        <x:v>Tier</x:v>
      </x:c>
      <x:c r="E4" s="77" t="str">
        <x:v>Location</x:v>
      </x:c>
      <x:c r="F4" s="77" t="str">
        <x:v>Material / Function</x:v>
      </x:c>
      <x:c r="G4" s="78" t="str">
        <x:v>Unit Amount / Modeling Basis</x:v>
      </x:c>
      <x:c r="H4" s="77" t="str">
        <x:v>Verification Status</x:v>
      </x:c>
      <x:c r="I4" s="77" t="str">
        <x:v>PAC-3 Link</x:v>
      </x:c>
      <x:c r="J4" s="77" t="str">
        <x:v>Notes</x:v>
      </x:c>
      <x:c r="K4" s="85" t="str">
        <x:v>Source URL</x:v>
      </x:c>
    </x:row>
    <x:row r="5" ht="42" customHeight="1">
      <x:c r="A5" s="135" t="str">
        <x:v>S1</x:v>
      </x:c>
      <x:c r="B5" s="136" t="str">
        <x:v>American Pacific (AMPAC)</x:v>
      </x:c>
      <x:c r="C5" s="137" t="str">
        <x:v>Supplier</x:v>
      </x:c>
      <x:c r="D5" s="137" t="str">
        <x:v>Tier 3</x:v>
      </x:c>
      <x:c r="E5" s="137" t="str">
        <x:v>Cedar City, UT</x:v>
      </x:c>
      <x:c r="F5" s="136" t="str">
        <x:v>Ammonium perchlorate (oxidizer)</x:v>
      </x:c>
      <x:c r="G5" s="138" t="str">
        <x:v>Use abstract batch units; exact PAC-3 mass fraction not public</x:v>
      </x:c>
      <x:c r="H5" s="153" t="str">
        <x:v>Facility/capability verified</x:v>
      </x:c>
      <x:c r="I5" s="153" t="str">
        <x:v>Not publicly verified</x:v>
      </x:c>
      <x:c r="J5" s="139" t="str">
        <x:v>AMPAC publicly confirms Cedar City AP production for solid rocket motor applications.</x:v>
      </x:c>
      <x:c r="K5" s="140" t="str">
        <x:v>https://www.ampac.us/press-release-100-million-capacity-expansion/</x:v>
      </x:c>
    </x:row>
    <x:row r="6" ht="42" customHeight="1">
      <x:c r="A6" s="141" t="str">
        <x:v>S2</x:v>
      </x:c>
      <x:c r="B6" s="142" t="str">
        <x:v>AMPAL / U.S. Metal Powders</x:v>
      </x:c>
      <x:c r="C6" s="143" t="str">
        <x:v>Supplier</x:v>
      </x:c>
      <x:c r="D6" s="143" t="str">
        <x:v>Tier 3</x:v>
      </x:c>
      <x:c r="E6" s="143" t="str">
        <x:v>Palmerton, PA</x:v>
      </x:c>
      <x:c r="F6" s="142" t="str">
        <x:v>Engineered aluminum powder</x:v>
      </x:c>
      <x:c r="G6" s="144" t="str">
        <x:v>Use abstract batch units; exact PAC-3 mass fraction not public</x:v>
      </x:c>
      <x:c r="H6" s="154" t="str">
        <x:v>Facility/capability verified</x:v>
      </x:c>
      <x:c r="I6" s="154" t="str">
        <x:v>Not publicly verified</x:v>
      </x:c>
      <x:c r="J6" s="145" t="str">
        <x:v>Palmerton facility and aluminum-powder capability are public; exact PAC-3 grade/sourcing is not.</x:v>
      </x:c>
      <x:c r="K6" s="146" t="str">
        <x:v>https://www.usmetalpowders.com/contact/</x:v>
      </x:c>
    </x:row>
    <x:row r="7" ht="42" customHeight="1">
      <x:c r="A7" s="141" t="str">
        <x:v>S3</x:v>
      </x:c>
      <x:c r="B7" s="142" t="str">
        <x:v>Resin Solutions</x:v>
      </x:c>
      <x:c r="C7" s="143" t="str">
        <x:v>Supplier</x:v>
      </x:c>
      <x:c r="D7" s="143" t="str">
        <x:v>Tier 3</x:v>
      </x:c>
      <x:c r="E7" s="143" t="str">
        <x:v>Channelview, TX</x:v>
      </x:c>
      <x:c r="F7" s="142" t="str">
        <x:v>Poly bd® HTPB polymer binder</x:v>
      </x:c>
      <x:c r="G7" s="144" t="str">
        <x:v>Use abstract batch units; exact PAC-3 mass fraction not public</x:v>
      </x:c>
      <x:c r="H7" s="154" t="str">
        <x:v>Facility/capability verified</x:v>
      </x:c>
      <x:c r="I7" s="154" t="str">
        <x:v>Not publicly verified</x:v>
      </x:c>
      <x:c r="J7" s="145" t="str">
        <x:v>Channelview is identified as primary North American Poly bd® HTPB production.</x:v>
      </x:c>
      <x:c r="K7" s="146" t="str">
        <x:v>https://www.resinsolutions.com/about-us/facilities/</x:v>
      </x:c>
    </x:row>
    <x:row r="8" ht="42" customHeight="1">
      <x:c r="A8" s="141" t="str">
        <x:v>S4</x:v>
      </x:c>
      <x:c r="B8" s="142" t="str">
        <x:v>Toray Composite Materials America</x:v>
      </x:c>
      <x:c r="C8" s="143" t="str">
        <x:v>Supplier</x:v>
      </x:c>
      <x:c r="D8" s="143" t="str">
        <x:v>Tier 3</x:v>
      </x:c>
      <x:c r="E8" s="143" t="str">
        <x:v>Spartanburg, SC</x:v>
      </x:c>
      <x:c r="F8" s="142" t="str">
        <x:v>Carbon fiber / composite feedstock</x:v>
      </x:c>
      <x:c r="G8" s="144" t="str">
        <x:v>Model as one material lot per motor case; exact mass not public</x:v>
      </x:c>
      <x:c r="H8" s="154" t="str">
        <x:v>Facility/capability verified</x:v>
      </x:c>
      <x:c r="I8" s="154" t="str">
        <x:v>Not publicly verified</x:v>
      </x:c>
      <x:c r="J8" s="145" t="str">
        <x:v>Spartanburg is an integrated precursor-to-carbon-fiber/prepreg site. Feedstock should flow to the motor-case manufacturer, not directly to M1.</x:v>
      </x:c>
      <x:c r="K8" s="146" t="str">
        <x:v>https://www.toraycma.com/company/locations/</x:v>
      </x:c>
    </x:row>
    <x:row r="9" ht="42" customHeight="1">
      <x:c r="A9" s="141" t="str">
        <x:v>S5</x:v>
      </x:c>
      <x:c r="B9" s="142" t="str">
        <x:v>L3Harris AMF-South</x:v>
      </x:c>
      <x:c r="C9" s="143" t="str">
        <x:v>Supplier</x:v>
      </x:c>
      <x:c r="D9" s="143" t="str">
        <x:v>Tier 2</x:v>
      </x:c>
      <x:c r="E9" s="143" t="str">
        <x:v>Huntsville, AL</x:v>
      </x:c>
      <x:c r="F9" s="142" t="str">
        <x:v>Inert SRM hardware (nozzles, exit cones, aft closures, cases)</x:v>
      </x:c>
      <x:c r="G9" s="144" t="str">
        <x:v>Model as one inert-hardware set per motor</x:v>
      </x:c>
      <x:c r="H9" s="154" t="str">
        <x:v>Facility/capability verified</x:v>
      </x:c>
      <x:c r="I9" s="154" t="str">
        <x:v>PAC-3 link not publicly confirmed</x:v>
      </x:c>
      <x:c r="J9" s="145" t="str">
        <x:v>Public capability supports inert SRM components. Do not classify igniters as inert; igniters should be modeled separately if added.</x:v>
      </x:c>
      <x:c r="K9" s="146" t="str">
        <x:v>https://www.l3harris.com/newsroom/press-release/2025/08/l3harris-expanding-huntsville-solid-rocket-motor-facility</x:v>
      </x:c>
    </x:row>
    <x:row r="10" ht="42" customHeight="1">
      <x:c r="A10" s="141" t="str">
        <x:v>S6</x:v>
      </x:c>
      <x:c r="B10" s="142" t="str">
        <x:v>General Dynamics OTS - Lincoln Operations</x:v>
      </x:c>
      <x:c r="C10" s="143" t="str">
        <x:v>Supplier</x:v>
      </x:c>
      <x:c r="D10" s="143" t="str">
        <x:v>Tier 2</x:v>
      </x:c>
      <x:c r="E10" s="151" t="str">
        <x:v>Lincoln, NE</x:v>
      </x:c>
      <x:c r="F10" s="142" t="str">
        <x:v>Composite rocket motor case / structural pressure shell</x:v>
      </x:c>
      <x:c r="G10" s="144" t="str">
        <x:v>Model as one motor case per motor</x:v>
      </x:c>
      <x:c r="H10" s="154" t="str">
        <x:v>Facility/capability verified</x:v>
      </x:c>
      <x:c r="I10" s="154" t="str">
        <x:v>Program-related capability indicated</x:v>
      </x:c>
      <x:c r="J10" s="145" t="str">
        <x:v>GD-OTS publicly identifies Lincoln with composite rocket motor cases and lists PAC-3 CRI/MSE among platform applications.</x:v>
      </x:c>
      <x:c r="K10" s="146" t="str">
        <x:v>https://www.gdots.com/composite-structures-2017/rocket-motor-cases/</x:v>
      </x:c>
    </x:row>
    <x:row r="11" ht="42" customHeight="1">
      <x:c r="A11" s="148" t="str">
        <x:v>M1</x:v>
      </x:c>
      <x:c r="B11" s="142" t="str">
        <x:v>L3Harris - Arkansas Advanced Propulsion Facilities</x:v>
      </x:c>
      <x:c r="C11" s="143" t="str">
        <x:v>Manufacturer</x:v>
      </x:c>
      <x:c r="D11" s="143" t="str">
        <x:v>Tier 1</x:v>
      </x:c>
      <x:c r="E11" s="143" t="str">
        <x:v>Camden, AR</x:v>
      </x:c>
      <x:c r="F11" s="142" t="str">
        <x:v>PAC-3 MSE two-pulse solid rocket motor; case prep, cast, cure, final propulsion assembly</x:v>
      </x:c>
      <x:c r="G11" s="144" t="str">
        <x:v>1 propulsion module per interceptor in the simplified model</x:v>
      </x:c>
      <x:c r="H11" s="154" t="str">
        <x:v>Program-confirmed</x:v>
      </x:c>
      <x:c r="I11" s="154" t="str">
        <x:v>Confirmed</x:v>
      </x:c>
      <x:c r="J11" s="145" t="str">
        <x:v>L3Harris publicly confirms PAC-3 propulsion production and dedicated expansion at Camden.</x:v>
      </x:c>
      <x:c r="K11" s="146" t="str">
        <x:v>https://www.l3harris.com/newsroom/press-release/2026/06/l3harris-plans-arkansas-facility-expansion-pac-3-propulsion</x:v>
      </x:c>
    </x:row>
    <x:row r="12" ht="42" customHeight="1">
      <x:c r="A12" s="141" t="str">
        <x:v>A1</x:v>
      </x:c>
      <x:c r="B12" s="142" t="str">
        <x:v>Lockheed Martin</x:v>
      </x:c>
      <x:c r="C12" s="143" t="str">
        <x:v>Final Assembly</x:v>
      </x:c>
      <x:c r="D12" s="143" t="str">
        <x:v>Prime / Final Integrator</x:v>
      </x:c>
      <x:c r="E12" s="143" t="str">
        <x:v>Camden, AR</x:v>
      </x:c>
      <x:c r="F12" s="142" t="str">
        <x:v>Final all-up-round PAC-3 MSE interceptor production</x:v>
      </x:c>
      <x:c r="G12" s="144" t="str">
        <x:v>1 final interceptor per completed propulsion module in the simplified model</x:v>
      </x:c>
      <x:c r="H12" s="154" t="str">
        <x:v>Program-confirmed</x:v>
      </x:c>
      <x:c r="I12" s="154" t="str">
        <x:v>Confirmed</x:v>
      </x:c>
      <x:c r="J12" s="145" t="str">
        <x:v>Lockheed Martin publicly identifies Camden as the home of final all-up-round PAC-3 MSE production.</x:v>
      </x:c>
      <x:c r="K12" s="146" t="str">
        <x:v>https://investors.lockheedmartin.com/news-releases/news-release-details/department-war-awards-lockheed-martin-5862b-multiyear-pac-3-mse</x:v>
      </x:c>
    </x:row>
    <x:row r="13" ht="42" customHeight="1">
      <x:c r="A13" s="108" t="str"/>
      <x:c r="B13" s="105" t="str"/>
      <x:c r="C13" s="104" t="str"/>
      <x:c r="D13" s="104" t="str"/>
      <x:c r="E13" s="152" t="str"/>
      <x:c r="F13" s="105" t="str"/>
      <x:c r="G13" s="106" t="str"/>
      <x:c r="H13" s="152" t="str"/>
      <x:c r="I13" s="152" t="str"/>
      <x:c r="J13" s="126" t="str"/>
      <x:c r="K13" s="127" t="str"/>
    </x:row>
    <x:row r="14" ht="42" customHeight="1">
      <x:c r="A14" s="108" t="str"/>
      <x:c r="B14" s="105" t="str"/>
      <x:c r="C14" s="104" t="str"/>
      <x:c r="D14" s="104" t="str"/>
      <x:c r="E14" s="104" t="str"/>
      <x:c r="F14" s="105" t="str"/>
      <x:c r="G14" s="106" t="str"/>
      <x:c r="H14" s="152" t="str"/>
      <x:c r="I14" s="152" t="str"/>
      <x:c r="J14" s="126" t="str"/>
      <x:c r="K14" s="127" t="str"/>
    </x:row>
    <x:row r="15" ht="42" customHeight="1">
      <x:c r="A15" s="108" t="str"/>
      <x:c r="B15" s="105" t="str"/>
      <x:c r="C15" s="104" t="str"/>
      <x:c r="D15" s="104" t="str"/>
      <x:c r="E15" s="104" t="str"/>
      <x:c r="F15" s="105" t="str"/>
      <x:c r="G15" s="106" t="str"/>
      <x:c r="H15" s="152" t="str"/>
      <x:c r="I15" s="152" t="str"/>
      <x:c r="J15" s="126" t="str"/>
      <x:c r="K15" s="127" t="str"/>
    </x:row>
    <x:row r="16" ht="42" customHeight="1">
      <x:c r="A16" s="108" t="str"/>
      <x:c r="B16" s="105" t="str"/>
      <x:c r="C16" s="104" t="str"/>
      <x:c r="D16" s="104" t="str"/>
      <x:c r="E16" s="104" t="str"/>
      <x:c r="F16" s="105" t="str"/>
      <x:c r="G16" s="106" t="str"/>
      <x:c r="H16" s="152" t="str"/>
      <x:c r="I16" s="152" t="str"/>
      <x:c r="J16" s="126" t="str"/>
      <x:c r="K16" s="127" t="str"/>
    </x:row>
    <x:row r="17" ht="42" customHeight="1">
      <x:c r="A17" s="108" t="str"/>
      <x:c r="B17" s="105" t="str"/>
      <x:c r="C17" s="104" t="str"/>
      <x:c r="D17" s="104" t="str"/>
      <x:c r="E17" s="104" t="str"/>
      <x:c r="F17" s="105" t="str"/>
      <x:c r="G17" s="106" t="str"/>
      <x:c r="H17" s="152" t="str"/>
      <x:c r="I17" s="152" t="str"/>
      <x:c r="J17" s="126" t="str"/>
      <x:c r="K17" s="127" t="str"/>
    </x:row>
    <x:row r="18" ht="42" customHeight="1">
      <x:c r="A18" s="108" t="str"/>
      <x:c r="B18" s="105" t="str"/>
      <x:c r="C18" s="104" t="str"/>
      <x:c r="D18" s="104" t="str"/>
      <x:c r="E18" s="104" t="str"/>
      <x:c r="F18" s="105" t="str"/>
      <x:c r="G18" s="106" t="str"/>
      <x:c r="H18" s="152" t="str"/>
      <x:c r="I18" s="152" t="str"/>
      <x:c r="J18" s="126" t="str"/>
      <x:c r="K18" s="127" t="str"/>
    </x:row>
    <x:row r="19" ht="42" customHeight="1">
      <x:c r="A19" s="108" t="str"/>
      <x:c r="B19" s="105" t="str"/>
      <x:c r="C19" s="104" t="str"/>
      <x:c r="D19" s="104" t="str"/>
      <x:c r="E19" s="104" t="str"/>
      <x:c r="F19" s="105" t="str"/>
      <x:c r="G19" s="106" t="str"/>
      <x:c r="H19" s="152" t="str"/>
      <x:c r="I19" s="152" t="str"/>
      <x:c r="J19" s="126" t="str"/>
      <x:c r="K19" s="127" t="str"/>
    </x:row>
    <x:row r="20" ht="42" customHeight="1">
      <x:c r="A20" s="150" t="str"/>
      <x:c r="B20" s="110" t="str"/>
      <x:c r="C20" s="111" t="str"/>
      <x:c r="D20" s="111" t="str"/>
      <x:c r="E20" s="111" t="str"/>
      <x:c r="F20" s="110" t="str"/>
      <x:c r="G20" s="112" t="str"/>
      <x:c r="H20" s="155" t="str"/>
      <x:c r="I20" s="155" t="str"/>
      <x:c r="J20" s="133" t="str"/>
      <x:c r="K20" s="134" t="str"/>
    </x:row>
    <x:row r="21" ht="15.75" customHeight="1">
      <x:c r="B21" s="27"/>
      <x:c r="C21" s="32"/>
      <x:c r="D21" s="27"/>
      <x:c r="E21" s="27"/>
      <x:c r="F21" s="27"/>
      <x:c r="G21" s="28"/>
    </x:row>
    <x:row r="22" ht="15.75" customHeight="1">
      <x:c r="A22" s="33"/>
      <x:c r="B22" s="27"/>
      <x:c r="C22" s="32"/>
      <x:c r="D22" s="27"/>
      <x:c r="E22" s="27"/>
      <x:c r="F22" s="27"/>
      <x:c r="G22" s="28"/>
    </x:row>
    <x:row r="23" ht="15.75" customHeight="1">
      <x:c r="A23" s="33"/>
      <x:c r="B23" s="27"/>
      <x:c r="C23" s="32"/>
      <x:c r="D23" s="27"/>
      <x:c r="E23" s="27"/>
      <x:c r="F23" s="27"/>
      <x:c r="G23" s="28"/>
    </x:row>
    <x:row r="24" ht="15.75" customHeight="1">
      <x:c r="A24" s="34"/>
      <x:c r="B24" s="35"/>
      <x:c r="C24" s="36"/>
      <x:c r="D24" s="35"/>
      <x:c r="E24" s="35"/>
      <x:c r="F24" s="35"/>
      <x:c r="G24" s="37"/>
    </x:row>
    <x:row r="25" ht="15.75" customHeight="1">
      <x:c r="A25" s="33"/>
      <x:c r="B25" s="27"/>
      <x:c r="C25" s="32"/>
      <x:c r="D25" s="27"/>
      <x:c r="E25" s="27"/>
      <x:c r="F25" s="27"/>
      <x:c r="G25" s="28"/>
    </x:row>
    <x:row r="26" ht="15.75" customHeight="1">
      <x:c r="A26" s="38"/>
      <x:c r="B26" s="39"/>
      <x:c r="C26" s="40"/>
      <x:c r="D26" s="39"/>
      <x:c r="E26" s="39"/>
      <x:c r="F26" s="39"/>
      <x:c r="G26" s="41"/>
    </x:row>
    <x:row r="27" ht="15.75" customHeight="1">
      <x:c r="A27" s="33"/>
      <x:c r="B27" s="27"/>
      <x:c r="C27" s="32"/>
      <x:c r="D27" s="27"/>
      <x:c r="E27" s="27"/>
      <x:c r="F27" s="27"/>
      <x:c r="G27" s="28"/>
    </x:row>
    <x:row r="28" ht="15.75" customHeight="1">
      <x:c r="A28" s="34"/>
      <x:c r="B28" s="35"/>
      <x:c r="C28" s="36"/>
      <x:c r="D28" s="35"/>
      <x:c r="E28" s="35"/>
      <x:c r="F28" s="35"/>
      <x:c r="G28" s="37"/>
    </x:row>
    <x:row r="29" ht="15.75" customHeight="1">
      <x:c r="A29" s="33"/>
      <x:c r="B29" s="27"/>
      <x:c r="C29" s="32"/>
      <x:c r="D29" s="27"/>
      <x:c r="E29" s="27"/>
      <x:c r="F29" s="27"/>
      <x:c r="G29" s="28"/>
    </x:row>
    <x:row r="30" ht="15.75" customHeight="1">
      <x:c r="A30" s="33"/>
      <x:c r="B30" s="27"/>
      <x:c r="C30" s="32"/>
      <x:c r="D30" s="27"/>
      <x:c r="E30" s="27"/>
      <x:c r="F30" s="27"/>
      <x:c r="G30" s="28"/>
    </x:row>
    <x:row r="31" ht="15.75" customHeight="1">
      <x:c r="A31" s="33"/>
      <x:c r="B31" s="27"/>
      <x:c r="C31" s="32"/>
      <x:c r="D31" s="27"/>
      <x:c r="E31" s="27"/>
      <x:c r="F31" s="27"/>
      <x:c r="G31" s="28"/>
    </x:row>
    <x:row r="32" ht="15.75" customHeight="1">
      <x:c r="A32" s="34"/>
      <x:c r="B32" s="35"/>
      <x:c r="C32" s="36"/>
      <x:c r="D32" s="35"/>
      <x:c r="E32" s="35"/>
      <x:c r="F32" s="35"/>
      <x:c r="G32" s="37"/>
    </x:row>
    <x:row r="33" ht="15.75" customHeight="1">
      <x:c r="A33" s="33"/>
      <x:c r="B33" s="27"/>
      <x:c r="C33" s="32"/>
      <x:c r="D33" s="27"/>
      <x:c r="E33" s="27"/>
      <x:c r="F33" s="27"/>
      <x:c r="G33" s="28"/>
    </x:row>
    <x:row r="34" ht="15.75" customHeight="1">
      <x:c r="A34" s="33"/>
      <x:c r="B34" s="27"/>
      <x:c r="C34" s="32"/>
      <x:c r="D34" s="27"/>
      <x:c r="E34" s="27"/>
      <x:c r="F34" s="27"/>
      <x:c r="G34" s="28"/>
    </x:row>
    <x:row r="35" ht="15.75" customHeight="1">
      <x:c r="A35" s="33"/>
      <x:c r="B35" s="27"/>
      <x:c r="C35" s="32"/>
      <x:c r="D35" s="27"/>
      <x:c r="E35" s="27"/>
      <x:c r="F35" s="27"/>
      <x:c r="G35" s="28"/>
    </x:row>
    <x:row r="36" ht="15.75" customHeight="1">
      <x:c r="A36" s="34"/>
      <x:c r="B36" s="35"/>
      <x:c r="C36" s="36"/>
      <x:c r="D36" s="35"/>
      <x:c r="E36" s="35"/>
      <x:c r="F36" s="35"/>
      <x:c r="G36" s="37"/>
    </x:row>
    <x:row r="37" ht="15.75" customHeight="1">
      <x:c r="A37" s="33"/>
      <x:c r="B37" s="27"/>
      <x:c r="C37" s="32"/>
      <x:c r="D37" s="27"/>
      <x:c r="E37" s="27"/>
      <x:c r="F37" s="27"/>
      <x:c r="G37" s="28"/>
    </x:row>
    <x:row r="38" ht="15.75" customHeight="1">
      <x:c r="A38" s="33"/>
      <x:c r="B38" s="27"/>
      <x:c r="C38" s="32"/>
      <x:c r="D38" s="27"/>
      <x:c r="E38" s="27"/>
      <x:c r="F38" s="27"/>
      <x:c r="G38" s="28"/>
    </x:row>
    <x:row r="39" ht="15.75" customHeight="1">
      <x:c r="A39" s="33"/>
      <x:c r="B39" s="27"/>
      <x:c r="C39" s="32"/>
      <x:c r="D39" s="27"/>
      <x:c r="E39" s="27"/>
      <x:c r="F39" s="27"/>
      <x:c r="G39" s="28"/>
    </x:row>
    <x:row r="40" ht="15.75" customHeight="1">
      <x:c r="C40" s="42"/>
    </x:row>
    <x:row r="41" ht="15.75" customHeight="1">
      <x:c r="C41" s="42"/>
    </x:row>
    <x:row r="42" ht="15.75" customHeight="1">
      <x:c r="C42" s="42"/>
    </x:row>
    <x:row r="43" ht="15.75" customHeight="1">
      <x:c r="C43" s="42"/>
    </x:row>
    <x:row r="44" ht="15.75" customHeight="1">
      <x:c r="C44" s="42"/>
    </x:row>
    <x:row r="45" ht="15.75" customHeight="1">
      <x:c r="C45" s="42"/>
    </x:row>
    <x:row r="46" ht="15.75" customHeight="1">
      <x:c r="C46" s="42"/>
    </x:row>
    <x:row r="47" ht="15.75" customHeight="1">
      <x:c r="C47" s="42"/>
    </x:row>
    <x:row r="48" ht="15.75" customHeight="1">
      <x:c r="C48" s="42"/>
    </x:row>
    <x:row r="49" ht="15.75" customHeight="1">
      <x:c r="C49" s="42"/>
    </x:row>
    <x:row r="50" ht="15.75" customHeight="1">
      <x:c r="C50" s="42"/>
    </x:row>
    <x:row r="51" ht="15.75" customHeight="1">
      <x:c r="C51" s="42"/>
    </x:row>
    <x:row r="52" ht="15.75" customHeight="1">
      <x:c r="C52" s="42"/>
    </x:row>
    <x:row r="53" ht="15.75" customHeight="1">
      <x:c r="C53" s="42"/>
    </x:row>
    <x:row r="54" ht="15.75" customHeight="1">
      <x:c r="C54" s="42"/>
    </x:row>
    <x:row r="55" ht="15.75" customHeight="1">
      <x:c r="C55" s="42"/>
    </x:row>
    <x:row r="56" ht="15.75" customHeight="1">
      <x:c r="C56" s="42"/>
    </x:row>
    <x:row r="57" ht="15.75" customHeight="1">
      <x:c r="C57" s="42"/>
    </x:row>
    <x:row r="58" ht="15.75" customHeight="1">
      <x:c r="C58" s="42"/>
    </x:row>
    <x:row r="59" ht="15.75" customHeight="1">
      <x:c r="C59" s="42"/>
    </x:row>
    <x:row r="60" ht="15.75" customHeight="1">
      <x:c r="C60" s="42"/>
    </x:row>
    <x:row r="61" ht="15.75" customHeight="1">
      <x:c r="C61" s="42"/>
    </x:row>
    <x:row r="62" ht="15.75" customHeight="1">
      <x:c r="C62" s="42"/>
    </x:row>
    <x:row r="63" ht="15.75" customHeight="1">
      <x:c r="C63" s="42"/>
    </x:row>
    <x:row r="64" ht="15.75" customHeight="1">
      <x:c r="C64" s="42"/>
    </x:row>
    <x:row r="65" ht="15.75" customHeight="1">
      <x:c r="C65" s="42"/>
    </x:row>
    <x:row r="66" ht="15.75" customHeight="1">
      <x:c r="C66" s="42"/>
    </x:row>
    <x:row r="67" ht="15.75" customHeight="1">
      <x:c r="C67" s="42"/>
    </x:row>
    <x:row r="68" ht="15.75" customHeight="1">
      <x:c r="C68" s="42"/>
    </x:row>
    <x:row r="69" ht="15.75" customHeight="1">
      <x:c r="C69" s="42"/>
    </x:row>
    <x:row r="70" ht="15.75" customHeight="1">
      <x:c r="C70" s="42"/>
    </x:row>
    <x:row r="71" ht="15.75" customHeight="1">
      <x:c r="C71" s="42"/>
    </x:row>
    <x:row r="72" ht="15.75" customHeight="1">
      <x:c r="C72" s="42"/>
    </x:row>
    <x:row r="73" ht="15.75" customHeight="1">
      <x:c r="C73" s="42"/>
    </x:row>
    <x:row r="74" ht="15.75" customHeight="1">
      <x:c r="C74" s="42"/>
    </x:row>
    <x:row r="75" ht="15.75" customHeight="1">
      <x:c r="C75" s="42"/>
    </x:row>
    <x:row r="76" ht="15.75" customHeight="1">
      <x:c r="C76" s="42"/>
    </x:row>
    <x:row r="77" ht="15.75" customHeight="1">
      <x:c r="C77" s="42"/>
    </x:row>
    <x:row r="78" ht="15.75" customHeight="1">
      <x:c r="C78" s="42"/>
    </x:row>
    <x:row r="79" ht="15.75" customHeight="1">
      <x:c r="C79" s="42"/>
    </x:row>
    <x:row r="80" ht="15.75" customHeight="1">
      <x:c r="C80" s="42"/>
    </x:row>
    <x:row r="81" ht="15.75" customHeight="1">
      <x:c r="C81" s="42"/>
    </x:row>
    <x:row r="82" ht="15.75" customHeight="1">
      <x:c r="C82" s="42"/>
    </x:row>
    <x:row r="83" ht="15.75" customHeight="1">
      <x:c r="C83" s="42"/>
    </x:row>
    <x:row r="84" ht="15.75" customHeight="1">
      <x:c r="C84" s="42"/>
    </x:row>
    <x:row r="85" ht="15.75" customHeight="1">
      <x:c r="C85" s="42"/>
    </x:row>
    <x:row r="86" ht="15.75" customHeight="1">
      <x:c r="C86" s="42"/>
    </x:row>
    <x:row r="87" ht="15.75" customHeight="1">
      <x:c r="C87" s="42"/>
    </x:row>
    <x:row r="88" ht="15.75" customHeight="1">
      <x:c r="C88" s="42"/>
    </x:row>
    <x:row r="89" ht="15.75" customHeight="1">
      <x:c r="C89" s="42"/>
    </x:row>
    <x:row r="90" ht="15.75" customHeight="1">
      <x:c r="C90" s="42"/>
    </x:row>
    <x:row r="91" ht="15.75" customHeight="1">
      <x:c r="C91" s="42"/>
    </x:row>
    <x:row r="92" ht="15.75" customHeight="1">
      <x:c r="C92" s="42"/>
    </x:row>
    <x:row r="93" ht="15.75" customHeight="1">
      <x:c r="C93" s="42"/>
    </x:row>
    <x:row r="94" ht="15.75" customHeight="1">
      <x:c r="C94" s="42"/>
    </x:row>
    <x:row r="95" ht="15.75" customHeight="1">
      <x:c r="C95" s="42"/>
    </x:row>
    <x:row r="96" ht="15.75" customHeight="1">
      <x:c r="C96" s="42"/>
    </x:row>
    <x:row r="97" ht="15.75" customHeight="1">
      <x:c r="C97" s="42"/>
    </x:row>
    <x:row r="98" ht="15.75" customHeight="1">
      <x:c r="C98" s="42"/>
    </x:row>
    <x:row r="99" ht="15.75" customHeight="1">
      <x:c r="C99" s="42"/>
    </x:row>
    <x:row r="100" ht="15.75" customHeight="1">
      <x:c r="C100" s="42"/>
    </x:row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K1"/>
    <x:mergeCell ref="A2:K2"/>
  </x:mergeCells>
  <x:conditionalFormatting sqref="C5:C1000">
    <x:cfRule type="expression" dxfId="4" priority="1">
      <x:formula>C5="Supplier"</x:formula>
    </x:cfRule>
  </x:conditionalFormatting>
  <x:conditionalFormatting sqref="C5:C1000">
    <x:cfRule type="expression" dxfId="5" priority="2">
      <x:formula>C5="Manufacturer"</x:formula>
    </x:cfRule>
  </x:conditionalFormatting>
  <x:conditionalFormatting sqref="C5:C1000">
    <x:cfRule type="expression" dxfId="6" priority="3">
      <x:formula>C5="Final Assembly"</x:formula>
    </x:cfRule>
  </x:conditionalFormatting>
  <x:conditionalFormatting sqref="H5:H100">
    <x:cfRule type="expression" dxfId="7" priority="4">
      <x:formula>H5="Program-confirmed"</x:formula>
    </x:cfRule>
    <x:cfRule type="expression" dxfId="8" priority="5">
      <x:formula>H5="Facility/capability verified"</x:formula>
    </x:cfRule>
    <x:cfRule type="expression" dxfId="9" priority="6">
      <x:formula>H5="Modeling assumption"</x:formula>
    </x:cfRule>
  </x:conditionalFormatting>
  <x:dataValidations count="3">
    <x:dataValidation type="list" allowBlank="1" sqref="C5:C100">
      <x:formula1>'Reference Lists'!$A$2:$A$6</x:formula1>
    </x:dataValidation>
    <x:dataValidation type="list" sqref="D5:D100">
      <x:formula1>'Reference Lists'!$C$2:$C$6</x:formula1>
    </x:dataValidation>
    <x:dataValidation type="list" sqref="H5:H100">
      <x:formula1>'Reference Lists'!$B$2:$B$5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e3d559ece34467"/>
  </x:tableParts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28" hidden="0" customWidth="1"/>
    <x:col min="2" max="26" width="8.630000114440918" customWidth="1"/>
    <x:col min="2" max="2" width="28" hidden="0" customWidth="1"/>
    <x:col min="3" max="3" width="28" hidden="0" customWidth="1"/>
  </x:cols>
  <x:sheetData>
    <x:row r="1">
      <x:c r="A1" s="159" t="str">
        <x:v>Node Types</x:v>
      </x:c>
      <x:c r="B1" s="77" t="str">
        <x:v>Verification Status</x:v>
      </x:c>
      <x:c r="C1" s="85" t="str">
        <x:v>Tier</x:v>
      </x:c>
    </x:row>
    <x:row r="2">
      <x:c r="A2" s="163" t="str">
        <x:v>Supplier</x:v>
      </x:c>
      <x:c r="B2" s="164" t="str">
        <x:v>Program-confirmed</x:v>
      </x:c>
      <x:c r="C2" s="164" t="str">
        <x:v>Tier 3</x:v>
      </x:c>
    </x:row>
    <x:row r="3">
      <x:c r="A3" s="163" t="str">
        <x:v>Manufacturer</x:v>
      </x:c>
      <x:c r="B3" s="164" t="str">
        <x:v>Facility/capability verified</x:v>
      </x:c>
      <x:c r="C3" s="164" t="str">
        <x:v>Tier 2</x:v>
      </x:c>
    </x:row>
    <x:row r="4">
      <x:c r="A4" s="163" t="str">
        <x:v>Final Assembly</x:v>
      </x:c>
      <x:c r="B4" s="164" t="str">
        <x:v>Modeling assumption</x:v>
      </x:c>
      <x:c r="C4" s="164" t="str">
        <x:v>Tier 1</x:v>
      </x:c>
    </x:row>
    <x:row r="5">
      <x:c r="A5" s="163" t="str">
        <x:v>Warehouse</x:v>
      </x:c>
      <x:c r="B5" s="164" t="str">
        <x:v>Needs verification</x:v>
      </x:c>
      <x:c r="C5" s="164" t="str">
        <x:v>Prime / Final Integrator</x:v>
      </x:c>
    </x:row>
    <x:row r="6">
      <x:c r="A6" s="163" t="str">
        <x:v>Distribution Center</x:v>
      </x:c>
      <x:c r="B6" s="164"/>
      <x:c r="C6" s="164" t="str">
        <x:v>Unassigned</x:v>
      </x:c>
    </x:row>
    <x:row r="7">
      <x:c r="A7" s="165"/>
      <x:c r="B7" s="164"/>
      <x:c r="C7" s="164"/>
    </x:row>
    <x:row r="8">
      <x:c r="A8" s="164"/>
      <x:c r="B8" s="164"/>
      <x:c r="C8" s="164"/>
    </x:row>
    <x:row r="9">
      <x:c r="A9" s="164"/>
      <x:c r="B9" s="164"/>
      <x:c r="C9" s="164"/>
    </x:row>
    <x:row r="10">
      <x:c r="A10" s="164"/>
      <x:c r="B10" s="164"/>
      <x:c r="C10" s="164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9" hidden="0" customWidth="1"/>
    <x:col min="4" max="4" width="27" hidden="0" customWidth="1"/>
    <x:col min="5" max="5" width="42" hidden="0" customWidth="1"/>
    <x:col min="6" max="6" width="45" hidden="0" customWidth="1"/>
    <x:col min="7" max="7" width="32" hidden="0" customWidth="1"/>
    <x:col min="8" max="8" width="29" hidden="0" customWidth="1"/>
    <x:col min="9" max="9" width="48" hidden="0" customWidth="1"/>
    <x:col min="10" max="10" width="48" hidden="0" customWidth="1"/>
  </x:cols>
  <x:sheetData>
    <x:row r="1" ht="28" customHeight="1">
      <x:c r="A1" s="65" t="str">
        <x:v>PAC-3 MSE Supply Chain Logistics &amp; Flow</x:v>
      </x:c>
      <x:c r="B1" s="65"/>
      <x:c r="C1" s="65"/>
      <x:c r="D1" s="65"/>
      <x:c r="E1" s="65"/>
      <x:c r="F1" s="65"/>
      <x:c r="G1" s="65"/>
      <x:c r="H1" s="65"/>
      <x:c r="I1" s="65"/>
      <x:c r="J1" s="65"/>
    </x:row>
    <x:row r="2" ht="42" customHeight="1">
      <x:c r="A2" s="70" t="str">
        <x:v>Transit modes are public-facing modeling assumptions unless explicitly supported. DOT classifications are written conservatively and should be checked against the shipment-specific SDS/approval.</x:v>
      </x:c>
      <x:c r="B2" s="70"/>
      <x:c r="C2" s="70"/>
      <x:c r="D2" s="70"/>
      <x:c r="E2" s="70"/>
      <x:c r="F2" s="70"/>
      <x:c r="G2" s="70"/>
      <x:c r="H2" s="70"/>
      <x:c r="I2" s="70"/>
      <x:c r="J2" s="70"/>
    </x:row>
    <x:row r="4" ht="34" customHeight="1">
      <x:c r="A4" s="76" t="str">
        <x:v>Edge ID</x:v>
      </x:c>
      <x:c r="B4" s="77" t="str">
        <x:v>From</x:v>
      </x:c>
      <x:c r="C4" s="77" t="str">
        <x:v>To</x:v>
      </x:c>
      <x:c r="D4" s="77" t="str">
        <x:v>Material / Item</x:v>
      </x:c>
      <x:c r="E4" s="77" t="str">
        <x:v>Mode / Handling Assumption</x:v>
      </x:c>
      <x:c r="F4" s="77" t="str">
        <x:v>DOT / Hazmat</x:v>
      </x:c>
      <x:c r="G4" s="77" t="str">
        <x:v>Quantity / Basis</x:v>
      </x:c>
      <x:c r="H4" s="77" t="str">
        <x:v>Verification Status</x:v>
      </x:c>
      <x:c r="I4" s="77" t="str">
        <x:v>Notes</x:v>
      </x:c>
      <x:c r="J4" s="85" t="str">
        <x:v>Source URL</x:v>
      </x:c>
    </x:row>
    <x:row r="5" ht="50" customHeight="1">
      <x:c r="A5" s="177" t="str">
        <x:v>T1</x:v>
      </x:c>
      <x:c r="B5" s="153" t="str">
        <x:v>S1</x:v>
      </x:c>
      <x:c r="C5" s="153" t="str">
        <x:v>M1</x:v>
      </x:c>
      <x:c r="D5" s="139" t="str">
        <x:v>Ammonium perchlorate</x:v>
      </x:c>
      <x:c r="E5" s="139" t="str">
        <x:v>Regulated hazmat motor freight; rail may be feasible but program-specific mode is unverified</x:v>
      </x:c>
      <x:c r="F5" s="139" t="str">
        <x:v>UN1442 Class 5.1 PG II for applicable AP grades; UN0402 1.1D also exists. Use shipment-specific classification.</x:v>
      </x:c>
      <x:c r="G5" s="139" t="str">
        <x:v>Abstract batch units; exact PAC-3 mass fraction not public</x:v>
      </x:c>
      <x:c r="H5" s="153" t="str">
        <x:v>Regulation verified / route assumed</x:v>
      </x:c>
      <x:c r="I5" s="139" t="str">
        <x:v>Do not label AP generically as '5.1/1.3'. AMPAC SDS also notes 5.1 approvals for qualifying propellant-grade material.</x:v>
      </x:c>
      <x:c r="J5" s="140" t="str">
        <x:v>https://www.ecfr.gov/current/title-49/subtitle-B/chapter-I/subchapter-C/part-172/subpart-B/section-172.101</x:v>
      </x:c>
    </x:row>
    <x:row r="6" ht="50" customHeight="1">
      <x:c r="A6" s="178" t="str">
        <x:v>T2</x:v>
      </x:c>
      <x:c r="B6" s="154" t="str">
        <x:v>S2</x:v>
      </x:c>
      <x:c r="C6" s="154" t="str">
        <x:v>M1</x:v>
      </x:c>
      <x:c r="D6" s="145" t="str">
        <x:v>Aluminum powder</x:v>
      </x:c>
      <x:c r="E6" s="145" t="str">
        <x:v>Packaged regulated hazmat freight; exact carrier/mode unverified</x:v>
      </x:c>
      <x:c r="F6" s="145" t="str">
        <x:v>Grade dependent: coated aluminum powder UN1309 Class 4.1; uncoated UN1396 Class 4.3</x:v>
      </x:c>
      <x:c r="G6" s="145" t="str">
        <x:v>Abstract batch units; exact PAC-3 mass fraction not public</x:v>
      </x:c>
      <x:c r="H6" s="154" t="str">
        <x:v>Regulation verified / route assumed</x:v>
      </x:c>
      <x:c r="I6" s="145" t="str">
        <x:v>A blanket Class 4.1 classification is too broad; actual grade/SDS controls.</x:v>
      </x:c>
      <x:c r="J6" s="146" t="str">
        <x:v>https://www.ecfr.gov/current/title-49/subtitle-B/chapter-I/subchapter-C/part-172/subpart-B/section-172.101</x:v>
      </x:c>
    </x:row>
    <x:row r="7" ht="50" customHeight="1">
      <x:c r="A7" s="178" t="str">
        <x:v>T3</x:v>
      </x:c>
      <x:c r="B7" s="154" t="str">
        <x:v>S3</x:v>
      </x:c>
      <x:c r="C7" s="154" t="str">
        <x:v>M1</x:v>
      </x:c>
      <x:c r="D7" s="145" t="str">
        <x:v>HTPB binder</x:v>
      </x:c>
      <x:c r="E7" s="145" t="str">
        <x:v>Chemical freight appropriate to packaging/SDS; tanker or ISO container should remain a modeling assumption</x:v>
      </x:c>
      <x:c r="F7" s="145" t="str">
        <x:v>Use grade-specific supplier SDS; no blanket DOT class asserted here</x:v>
      </x:c>
      <x:c r="G7" s="145" t="str">
        <x:v>Abstract batch units; exact PAC-3 mass fraction not public</x:v>
      </x:c>
      <x:c r="H7" s="154" t="str">
        <x:v>Facility verified / transport assumed</x:v>
      </x:c>
      <x:c r="I7" s="145" t="str">
        <x:v>Channelview HTPB production is verified, but PAC-3-specific shipping method/classification is not public.</x:v>
      </x:c>
      <x:c r="J7" s="146" t="str">
        <x:v>https://www.resinsolutions.com/about-us/facilities/</x:v>
      </x:c>
    </x:row>
    <x:row r="8" ht="50" customHeight="1">
      <x:c r="A8" s="178" t="str">
        <x:v>T4</x:v>
      </x:c>
      <x:c r="B8" s="154" t="str">
        <x:v>S4</x:v>
      </x:c>
      <x:c r="C8" s="154" t="str">
        <x:v>S6</x:v>
      </x:c>
      <x:c r="D8" s="145" t="str">
        <x:v>Carbon fiber / composite feedstock</x:v>
      </x:c>
      <x:c r="E8" s="145" t="str">
        <x:v>Enclosed protected freight; temperature-controlled handling if material is prepreg</x:v>
      </x:c>
      <x:c r="F8" s="145" t="str">
        <x:v>Generally non-hazardous composite feedstock; verify specific SDS</x:v>
      </x:c>
      <x:c r="G8" s="145" t="str">
        <x:v>One modeled material lot per motor case</x:v>
      </x:c>
      <x:c r="H8" s="154" t="str">
        <x:v>Flow corrected / transport assumed</x:v>
      </x:c>
      <x:c r="I8" s="145" t="str">
        <x:v>Corrected flow: raw composite feedstock should go to the motor-case manufacturer before M1.</x:v>
      </x:c>
      <x:c r="J8" s="146" t="str">
        <x:v>https://www.toraycma.com/company/locations/</x:v>
      </x:c>
    </x:row>
    <x:row r="9" ht="50" customHeight="1">
      <x:c r="A9" s="178" t="str">
        <x:v>T5</x:v>
      </x:c>
      <x:c r="B9" s="154" t="str">
        <x:v>S5</x:v>
      </x:c>
      <x:c r="C9" s="154" t="str">
        <x:v>M1</x:v>
      </x:c>
      <x:c r="D9" s="145" t="str">
        <x:v>Inert SRM hardware</x:v>
      </x:c>
      <x:c r="E9" s="145" t="str">
        <x:v>Secured industrial/defense freight; exact carrier and security procedures unverified</x:v>
      </x:c>
      <x:c r="F9" s="145" t="str">
        <x:v>Standard freight for inert hardware unless a specific component is separately regulated</x:v>
      </x:c>
      <x:c r="G9" s="145" t="str">
        <x:v>One modeled inert-hardware set per motor</x:v>
      </x:c>
      <x:c r="H9" s="154" t="str">
        <x:v>Capability verified / route assumed</x:v>
      </x:c>
      <x:c r="I9" s="145" t="str">
        <x:v>Nozzles, exit cones, aft closures and cases are public Huntsville capabilities. Igniters are not inert and are excluded.</x:v>
      </x:c>
      <x:c r="J9" s="146" t="str">
        <x:v>https://www.l3harris.com/newsroom/press-release/2025/08/l3harris-expanding-huntsville-solid-rocket-motor-facility</x:v>
      </x:c>
    </x:row>
    <x:row r="10" ht="50" customHeight="1">
      <x:c r="A10" s="178" t="str">
        <x:v>T6</x:v>
      </x:c>
      <x:c r="B10" s="154" t="str">
        <x:v>S6</x:v>
      </x:c>
      <x:c r="C10" s="154" t="str">
        <x:v>M1</x:v>
      </x:c>
      <x:c r="D10" s="145" t="str">
        <x:v>Composite rocket motor case</x:v>
      </x:c>
      <x:c r="E10" s="145" t="str">
        <x:v>Specialized cradled enclosed/flatbed freight; exact mode unverified</x:v>
      </x:c>
      <x:c r="F10" s="145" t="str">
        <x:v>Non-hazardous structural hardware unless shipment contains regulated material</x:v>
      </x:c>
      <x:c r="G10" s="145" t="str">
        <x:v>One motor case per motor in simplified model</x:v>
      </x:c>
      <x:c r="H10" s="154" t="str">
        <x:v>Capability verified / route assumed</x:v>
      </x:c>
      <x:c r="I10" s="145" t="str">
        <x:v>GD-OTS Lincoln has verified composite rocket motor-case capability and identifies PAC-3 CRI/MSE among platform applications.</x:v>
      </x:c>
      <x:c r="J10" s="146" t="str">
        <x:v>https://www.gdots.com/composite-structures-2017/rocket-motor-cases/</x:v>
      </x:c>
    </x:row>
    <x:row r="11" ht="50" customHeight="1">
      <x:c r="A11" s="178" t="str">
        <x:v>T7</x:v>
      </x:c>
      <x:c r="B11" s="154" t="str">
        <x:v>M1</x:v>
      </x:c>
      <x:c r="C11" s="154" t="str">
        <x:v>A1</x:v>
      </x:c>
      <x:c r="D11" s="145" t="str">
        <x:v>Completed propulsion module</x:v>
      </x:c>
      <x:c r="E11" s="145" t="str">
        <x:v>Secured regulated local/over-the-road transfer; exact route, escort and carrier not public</x:v>
      </x:c>
      <x:c r="F11" s="145" t="str">
        <x:v>Class 1 explosive article; exact division/compatibility group is shipment-specific and must use approved classification</x:v>
      </x:c>
      <x:c r="G11" s="145" t="str">
        <x:v>One propulsion module per interceptor in simplified model</x:v>
      </x:c>
      <x:c r="H11" s="154" t="str">
        <x:v>Program flow verified / transport detail assumed</x:v>
      </x:c>
      <x:c r="I11" s="145" t="str">
        <x:v>Do not hard-code Class 1.1 or specific AA&amp;E escort tactics without the approved article classification and shipment requirements.</x:v>
      </x:c>
      <x:c r="J11" s="146" t="str">
        <x:v>https://www.ecfr.gov/current/title-49/subtitle-B/chapter-I/subchapter-C/part-173/subpart-C/section-173.56</x:v>
      </x:c>
    </x:row>
    <x:row r="12" ht="50" customHeight="1">
      <x:c r="A12" s="179" t="str"/>
      <x:c r="B12" s="152" t="str"/>
      <x:c r="C12" s="152" t="str"/>
      <x:c r="D12" s="126" t="str"/>
      <x:c r="E12" s="126" t="str"/>
      <x:c r="F12" s="126" t="str"/>
      <x:c r="G12" s="126" t="str"/>
      <x:c r="H12" s="152" t="str"/>
      <x:c r="I12" s="126" t="str"/>
      <x:c r="J12" s="127" t="str"/>
    </x:row>
    <x:row r="13" ht="50" customHeight="1">
      <x:c r="A13" s="179" t="str"/>
      <x:c r="B13" s="152" t="str"/>
      <x:c r="C13" s="152" t="str"/>
      <x:c r="D13" s="126" t="str"/>
      <x:c r="E13" s="126" t="str"/>
      <x:c r="F13" s="126" t="str"/>
      <x:c r="G13" s="126" t="str"/>
      <x:c r="H13" s="152" t="str"/>
      <x:c r="I13" s="126" t="str"/>
      <x:c r="J13" s="127" t="str"/>
    </x:row>
    <x:row r="14" ht="50" customHeight="1">
      <x:c r="A14" s="179" t="str"/>
      <x:c r="B14" s="152" t="str"/>
      <x:c r="C14" s="152" t="str"/>
      <x:c r="D14" s="126" t="str"/>
      <x:c r="E14" s="126" t="str"/>
      <x:c r="F14" s="126" t="str"/>
      <x:c r="G14" s="126" t="str"/>
      <x:c r="H14" s="152" t="str"/>
      <x:c r="I14" s="126" t="str"/>
      <x:c r="J14" s="127" t="str"/>
    </x:row>
    <x:row r="15" ht="50" customHeight="1">
      <x:c r="A15" s="179" t="str"/>
      <x:c r="B15" s="152" t="str"/>
      <x:c r="C15" s="152" t="str"/>
      <x:c r="D15" s="126" t="str"/>
      <x:c r="E15" s="126" t="str"/>
      <x:c r="F15" s="126" t="str"/>
      <x:c r="G15" s="126" t="str"/>
      <x:c r="H15" s="152" t="str"/>
      <x:c r="I15" s="126" t="str"/>
      <x:c r="J15" s="127" t="str"/>
    </x:row>
    <x:row r="16" ht="50" customHeight="1">
      <x:c r="A16" s="179" t="str"/>
      <x:c r="B16" s="152" t="str"/>
      <x:c r="C16" s="152" t="str"/>
      <x:c r="D16" s="126" t="str"/>
      <x:c r="E16" s="126" t="str"/>
      <x:c r="F16" s="126" t="str"/>
      <x:c r="G16" s="126" t="str"/>
      <x:c r="H16" s="152" t="str"/>
      <x:c r="I16" s="126" t="str"/>
      <x:c r="J16" s="127" t="str"/>
    </x:row>
    <x:row r="17" ht="50" customHeight="1">
      <x:c r="A17" s="150" t="str"/>
      <x:c r="B17" s="155" t="str"/>
      <x:c r="C17" s="155" t="str"/>
      <x:c r="D17" s="133" t="str"/>
      <x:c r="E17" s="133" t="str"/>
      <x:c r="F17" s="133" t="str"/>
      <x:c r="G17" s="133" t="str"/>
      <x:c r="H17" s="155" t="str"/>
      <x:c r="I17" s="133" t="str"/>
      <x:c r="J17" s="134" t="str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9f0a35c9d7a42fc"/>
  </x:tableParts>
</x:worksheet>
</file>